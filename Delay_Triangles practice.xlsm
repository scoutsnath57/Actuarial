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em\Documents\Coding\"/>
    </mc:Choice>
  </mc:AlternateContent>
  <xr:revisionPtr revIDLastSave="0" documentId="13_ncr:1_{ACA8B2A6-ED4D-47B0-9C27-931A70A75B49}" xr6:coauthVersionLast="47" xr6:coauthVersionMax="47" xr10:uidLastSave="{00000000-0000-0000-0000-000000000000}"/>
  <bookViews>
    <workbookView xWindow="28680" yWindow="-120" windowWidth="29040" windowHeight="15840" activeTab="2" xr2:uid="{50E59A79-9436-46FC-A8A9-CE9BDEC0CEE1}"/>
  </bookViews>
  <sheets>
    <sheet name="Premiums" sheetId="2" r:id="rId1"/>
    <sheet name="Sheet1" sheetId="1" state="hidden" r:id="rId2"/>
    <sheet name="Sheet3" sheetId="3" r:id="rId3"/>
    <sheet name="Button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" l="1"/>
  <c r="C20" i="1"/>
  <c r="D20" i="1"/>
  <c r="E20" i="1"/>
  <c r="B20" i="1"/>
  <c r="I4" i="1"/>
  <c r="I5" i="1"/>
  <c r="I3" i="1"/>
  <c r="K2" i="1"/>
  <c r="C18" i="1"/>
  <c r="D18" i="1"/>
  <c r="E18" i="1"/>
  <c r="B18" i="1"/>
  <c r="E17" i="1"/>
  <c r="D17" i="1"/>
  <c r="C17" i="1"/>
  <c r="C10" i="1"/>
  <c r="D10" i="1"/>
  <c r="E10" i="1"/>
  <c r="D14" i="1"/>
  <c r="D13" i="1"/>
  <c r="D12" i="1"/>
  <c r="I2" i="1"/>
  <c r="E5" i="1"/>
  <c r="D5" i="1"/>
  <c r="C5" i="1"/>
  <c r="E4" i="1"/>
  <c r="D4" i="1"/>
  <c r="E3" i="1"/>
  <c r="C9" i="1"/>
  <c r="D9" i="1"/>
  <c r="E9" i="1"/>
</calcChain>
</file>

<file path=xl/sharedStrings.xml><?xml version="1.0" encoding="utf-8"?>
<sst xmlns="http://schemas.openxmlformats.org/spreadsheetml/2006/main" count="19" uniqueCount="17">
  <si>
    <t>Years</t>
  </si>
  <si>
    <t>Premiums Received</t>
  </si>
  <si>
    <t>Development Year</t>
  </si>
  <si>
    <t>Development Factor</t>
  </si>
  <si>
    <t>Ult</t>
  </si>
  <si>
    <t>Total Claims as of 2008</t>
  </si>
  <si>
    <t>Settled Claims</t>
  </si>
  <si>
    <t>Reserve Requirement</t>
  </si>
  <si>
    <t>Basic Method</t>
  </si>
  <si>
    <t>Cumulative DF</t>
  </si>
  <si>
    <t>F</t>
  </si>
  <si>
    <t>1-1/f</t>
  </si>
  <si>
    <t>Loss Ratio</t>
  </si>
  <si>
    <t>IUL</t>
  </si>
  <si>
    <t>Emerging Liabilities</t>
  </si>
  <si>
    <t>Overall Reserve Requirement</t>
  </si>
  <si>
    <t>Make sure the data for the medium blue shade is fileld out. Still works if you extend the table as well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</si>
</sst>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4">
    <xf numFmtId="0" fontId="0" fillId="0" borderId="0" xfId="0"/>
    <xf numFmtId="0" fontId="3" fillId="2" borderId="0" xfId="1"/>
    <xf numFmtId="0" fontId="2" fillId="4" borderId="0" xfId="3"/>
    <xf numFmtId="0" fontId="2" fillId="3" borderId="0" xfId="2"/>
  </cellXfs>
  <cellStyles count="4">
    <cellStyle name="20% - Accent1" xfId="2" builtinId="30"/>
    <cellStyle name="60% - Accent1" xfId="3" builtinId="32"/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1</xdr:row>
          <xdr:rowOff>28575</xdr:rowOff>
        </xdr:from>
        <xdr:to>
          <xdr:col>4</xdr:col>
          <xdr:colOff>600075</xdr:colOff>
          <xdr:row>6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Delay Triangle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7</xdr:row>
          <xdr:rowOff>9525</xdr:rowOff>
        </xdr:from>
        <xdr:to>
          <xdr:col>4</xdr:col>
          <xdr:colOff>600075</xdr:colOff>
          <xdr:row>11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BornhuetterFerguson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4D839-D4AB-4A49-B325-AA5FC25DD7FC}">
  <sheetPr codeName="Sheet2"/>
  <dimension ref="A1:A7"/>
  <sheetViews>
    <sheetView workbookViewId="0">
      <selection activeCell="F12" sqref="F12"/>
    </sheetView>
  </sheetViews>
  <sheetFormatPr defaultRowHeight="15" x14ac:dyDescent="0.25"/>
  <cols>
    <col min="1" max="1" width="20.140625" bestFit="1" customWidth="1"/>
  </cols>
  <sheetData>
    <row r="1" spans="1:1" x14ac:dyDescent="0.25">
      <c r="A1" t="s">
        <v>1</v>
      </c>
    </row>
    <row r="2" spans="1:1" x14ac:dyDescent="0.25">
      <c r="A2">
        <v>175</v>
      </c>
    </row>
    <row r="3" spans="1:1" x14ac:dyDescent="0.25">
      <c r="A3">
        <v>181</v>
      </c>
    </row>
    <row r="4" spans="1:1" x14ac:dyDescent="0.25">
      <c r="A4">
        <v>190</v>
      </c>
    </row>
    <row r="5" spans="1:1" x14ac:dyDescent="0.25">
      <c r="A5">
        <v>196</v>
      </c>
    </row>
    <row r="6" spans="1:1" x14ac:dyDescent="0.25">
      <c r="A6">
        <v>200</v>
      </c>
    </row>
    <row r="7" spans="1:1" x14ac:dyDescent="0.25">
      <c r="A7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40380-B32E-4AD8-960B-BE00A1BB00DE}">
  <sheetPr codeName="Sheet1"/>
  <dimension ref="A1:K22"/>
  <sheetViews>
    <sheetView workbookViewId="0">
      <selection activeCell="G11" sqref="G11"/>
    </sheetView>
  </sheetViews>
  <sheetFormatPr defaultRowHeight="15" x14ac:dyDescent="0.25"/>
  <cols>
    <col min="1" max="1" width="27.7109375" bestFit="1" customWidth="1"/>
  </cols>
  <sheetData>
    <row r="1" spans="1:11" x14ac:dyDescent="0.25">
      <c r="A1" t="s">
        <v>0</v>
      </c>
      <c r="B1">
        <v>0</v>
      </c>
      <c r="C1">
        <v>1</v>
      </c>
      <c r="D1">
        <v>2</v>
      </c>
      <c r="E1">
        <v>3</v>
      </c>
      <c r="I1" t="s">
        <v>4</v>
      </c>
      <c r="J1" t="s">
        <v>1</v>
      </c>
      <c r="K1" t="s">
        <v>12</v>
      </c>
    </row>
    <row r="2" spans="1:11" x14ac:dyDescent="0.25">
      <c r="A2">
        <v>2005</v>
      </c>
      <c r="B2">
        <v>96</v>
      </c>
      <c r="C2">
        <v>136</v>
      </c>
      <c r="D2">
        <v>140</v>
      </c>
      <c r="E2">
        <v>168</v>
      </c>
      <c r="I2">
        <f>E2</f>
        <v>168</v>
      </c>
      <c r="J2">
        <v>175</v>
      </c>
      <c r="K2">
        <f>I2/J2</f>
        <v>0.96</v>
      </c>
    </row>
    <row r="3" spans="1:11" x14ac:dyDescent="0.25">
      <c r="A3">
        <v>2006</v>
      </c>
      <c r="B3">
        <v>100</v>
      </c>
      <c r="C3">
        <v>156</v>
      </c>
      <c r="D3">
        <v>160</v>
      </c>
      <c r="E3">
        <f>D3*E9</f>
        <v>192</v>
      </c>
      <c r="I3">
        <f>K3*J3</f>
        <v>173.76</v>
      </c>
      <c r="J3">
        <v>181</v>
      </c>
      <c r="K3">
        <v>0.96</v>
      </c>
    </row>
    <row r="4" spans="1:11" x14ac:dyDescent="0.25">
      <c r="A4">
        <v>2007</v>
      </c>
      <c r="B4">
        <v>120</v>
      </c>
      <c r="C4">
        <v>130</v>
      </c>
      <c r="D4">
        <f>C4*D9</f>
        <v>133.56164383561645</v>
      </c>
      <c r="E4">
        <f>D4*E9</f>
        <v>160.27397260273975</v>
      </c>
      <c r="I4">
        <f t="shared" ref="I4:I5" si="0">K4*J4</f>
        <v>182.4</v>
      </c>
      <c r="J4">
        <v>190</v>
      </c>
      <c r="K4">
        <v>0.96</v>
      </c>
    </row>
    <row r="5" spans="1:11" x14ac:dyDescent="0.25">
      <c r="A5">
        <v>2008</v>
      </c>
      <c r="B5">
        <v>136</v>
      </c>
      <c r="C5">
        <f>B5*C9</f>
        <v>181.62025316455697</v>
      </c>
      <c r="D5">
        <f>C5*D9</f>
        <v>186.59615051153116</v>
      </c>
      <c r="E5">
        <f>D5*E9</f>
        <v>223.91538061383739</v>
      </c>
      <c r="I5">
        <f t="shared" si="0"/>
        <v>188.16</v>
      </c>
      <c r="J5">
        <v>196</v>
      </c>
      <c r="K5">
        <v>0.96</v>
      </c>
    </row>
    <row r="8" spans="1:11" x14ac:dyDescent="0.25">
      <c r="A8" t="s">
        <v>2</v>
      </c>
      <c r="C8">
        <v>1</v>
      </c>
      <c r="D8">
        <v>2</v>
      </c>
      <c r="E8">
        <v>3</v>
      </c>
    </row>
    <row r="9" spans="1:11" x14ac:dyDescent="0.25">
      <c r="A9" t="s">
        <v>3</v>
      </c>
      <c r="C9">
        <f>SUM(C2:C4)/SUM(B2:B4)</f>
        <v>1.3354430379746836</v>
      </c>
      <c r="D9">
        <f>SUM(D2:D3)/SUM(C2:C3)</f>
        <v>1.0273972602739727</v>
      </c>
      <c r="E9">
        <f>E2/D2</f>
        <v>1.2</v>
      </c>
    </row>
    <row r="10" spans="1:11" x14ac:dyDescent="0.25">
      <c r="A10" t="s">
        <v>9</v>
      </c>
      <c r="C10">
        <f>C9*D10</f>
        <v>1.6464366221605689</v>
      </c>
      <c r="D10">
        <f>D9*E10</f>
        <v>1.2328767123287672</v>
      </c>
      <c r="E10">
        <f>E9</f>
        <v>1.2</v>
      </c>
    </row>
    <row r="11" spans="1:11" x14ac:dyDescent="0.25">
      <c r="A11" t="s">
        <v>8</v>
      </c>
    </row>
    <row r="12" spans="1:11" x14ac:dyDescent="0.25">
      <c r="A12" t="s">
        <v>5</v>
      </c>
      <c r="D12">
        <f>SUM(E2:E5)</f>
        <v>744.18935321657705</v>
      </c>
    </row>
    <row r="13" spans="1:11" x14ac:dyDescent="0.25">
      <c r="A13" t="s">
        <v>6</v>
      </c>
      <c r="D13">
        <f>E2+D3+C4+B5</f>
        <v>594</v>
      </c>
    </row>
    <row r="14" spans="1:11" x14ac:dyDescent="0.25">
      <c r="A14" t="s">
        <v>7</v>
      </c>
      <c r="D14">
        <f>D12-D13</f>
        <v>150.18935321657705</v>
      </c>
    </row>
    <row r="16" spans="1:11" x14ac:dyDescent="0.25">
      <c r="B16">
        <v>2005</v>
      </c>
      <c r="C16">
        <v>2006</v>
      </c>
      <c r="D16">
        <v>2007</v>
      </c>
      <c r="E16">
        <v>2008</v>
      </c>
    </row>
    <row r="17" spans="1:5" x14ac:dyDescent="0.25">
      <c r="A17" t="s">
        <v>10</v>
      </c>
      <c r="B17">
        <v>1</v>
      </c>
      <c r="C17">
        <f>E10</f>
        <v>1.2</v>
      </c>
      <c r="D17">
        <f>D10</f>
        <v>1.2328767123287672</v>
      </c>
      <c r="E17">
        <f>C10</f>
        <v>1.6464366221605689</v>
      </c>
    </row>
    <row r="18" spans="1:5" x14ac:dyDescent="0.25">
      <c r="A18" t="s">
        <v>11</v>
      </c>
      <c r="B18">
        <f>1-(1/B17)</f>
        <v>0</v>
      </c>
      <c r="C18">
        <f t="shared" ref="C18:E18" si="1">1-(1/C17)</f>
        <v>0.16666666666666663</v>
      </c>
      <c r="D18">
        <f t="shared" si="1"/>
        <v>0.18888888888888888</v>
      </c>
      <c r="E18">
        <f t="shared" si="1"/>
        <v>0.3926276987888363</v>
      </c>
    </row>
    <row r="19" spans="1:5" x14ac:dyDescent="0.25">
      <c r="A19" t="s">
        <v>13</v>
      </c>
      <c r="B19">
        <v>168</v>
      </c>
      <c r="C19">
        <v>173.76</v>
      </c>
      <c r="D19">
        <v>182.4</v>
      </c>
      <c r="E19">
        <v>188.16</v>
      </c>
    </row>
    <row r="20" spans="1:5" x14ac:dyDescent="0.25">
      <c r="A20" t="s">
        <v>14</v>
      </c>
      <c r="B20">
        <f>B19*B18</f>
        <v>0</v>
      </c>
      <c r="C20">
        <f t="shared" ref="C20:E20" si="2">C19*C18</f>
        <v>28.959999999999994</v>
      </c>
      <c r="D20">
        <f t="shared" si="2"/>
        <v>34.453333333333333</v>
      </c>
      <c r="E20">
        <f t="shared" si="2"/>
        <v>73.876827804107435</v>
      </c>
    </row>
    <row r="22" spans="1:5" x14ac:dyDescent="0.25">
      <c r="A22" t="s">
        <v>15</v>
      </c>
      <c r="D22">
        <f>SUM(B20:E20)</f>
        <v>137.29016113744075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EFB1-1D2D-4140-BEF9-38CB6860F5F9}">
  <sheetPr codeName="Sheet3"/>
  <dimension ref="A1:E5"/>
  <sheetViews>
    <sheetView tabSelected="1" workbookViewId="0">
      <selection activeCell="F15" sqref="F15"/>
    </sheetView>
  </sheetViews>
  <sheetFormatPr defaultRowHeight="15" x14ac:dyDescent="0.25"/>
  <cols>
    <col min="1" max="1" width="20.7109375" customWidth="1"/>
    <col min="8" max="8" width="20.7109375" customWidth="1"/>
  </cols>
  <sheetData>
    <row r="1" spans="1:5" x14ac:dyDescent="0.25">
      <c r="A1" s="1" t="s">
        <v>0</v>
      </c>
      <c r="B1" s="1">
        <v>0</v>
      </c>
      <c r="C1" s="1">
        <v>1</v>
      </c>
      <c r="D1" s="1">
        <v>2</v>
      </c>
      <c r="E1" s="1">
        <v>3</v>
      </c>
    </row>
    <row r="2" spans="1:5" x14ac:dyDescent="0.25">
      <c r="A2" s="1">
        <v>2005</v>
      </c>
      <c r="B2" s="2">
        <v>96</v>
      </c>
      <c r="C2" s="2">
        <v>136</v>
      </c>
      <c r="D2" s="2">
        <v>140</v>
      </c>
      <c r="E2" s="2">
        <v>168</v>
      </c>
    </row>
    <row r="3" spans="1:5" x14ac:dyDescent="0.25">
      <c r="A3" s="1">
        <v>2006</v>
      </c>
      <c r="B3" s="2">
        <v>100</v>
      </c>
      <c r="C3" s="2">
        <v>156</v>
      </c>
      <c r="D3" s="2">
        <v>160</v>
      </c>
      <c r="E3" s="3"/>
    </row>
    <row r="4" spans="1:5" x14ac:dyDescent="0.25">
      <c r="A4" s="1">
        <v>2007</v>
      </c>
      <c r="B4" s="2">
        <v>120</v>
      </c>
      <c r="C4" s="2">
        <v>130</v>
      </c>
      <c r="D4" s="3"/>
      <c r="E4" s="3"/>
    </row>
    <row r="5" spans="1:5" x14ac:dyDescent="0.25">
      <c r="A5" s="1">
        <v>2008</v>
      </c>
      <c r="B5" s="2">
        <v>136</v>
      </c>
      <c r="C5" s="3"/>
      <c r="D5" s="3"/>
      <c r="E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D8D3A-85D4-4D25-98BF-8C420326669F}">
  <sheetPr codeName="Sheet4"/>
  <dimension ref="G3"/>
  <sheetViews>
    <sheetView workbookViewId="0">
      <selection activeCell="G14" sqref="G14"/>
    </sheetView>
  </sheetViews>
  <sheetFormatPr defaultRowHeight="15" x14ac:dyDescent="0.25"/>
  <sheetData>
    <row r="3" spans="7:7" x14ac:dyDescent="0.25">
      <c r="G3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hisWorkbook.Delay_Triangle_Basic">
                <anchor moveWithCells="1" sizeWithCells="1">
                  <from>
                    <xdr:col>1</xdr:col>
                    <xdr:colOff>581025</xdr:colOff>
                    <xdr:row>1</xdr:row>
                    <xdr:rowOff>28575</xdr:rowOff>
                  </from>
                  <to>
                    <xdr:col>4</xdr:col>
                    <xdr:colOff>600075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hisWorkbook.BornhuetterFerguson">
                <anchor moveWithCells="1" sizeWithCells="1">
                  <from>
                    <xdr:col>1</xdr:col>
                    <xdr:colOff>571500</xdr:colOff>
                    <xdr:row>7</xdr:row>
                    <xdr:rowOff>9525</xdr:rowOff>
                  </from>
                  <to>
                    <xdr:col>4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Premiums</vt:lpstr>
      <vt:lpstr>Sheet1</vt:lpstr>
      <vt:lpstr>Sheet3</vt:lpstr>
      <vt:lpstr>Buttons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MM</dc:creator>
  <cp:lastModifiedBy>Nathan MM</cp:lastModifiedBy>
  <dcterms:created xsi:type="dcterms:W3CDTF">2024-02-03T22:32:18Z</dcterms:created>
  <dcterms:modified xsi:type="dcterms:W3CDTF">2024-12-30T17:57:28Z</dcterms:modified>
</cp:coreProperties>
</file>